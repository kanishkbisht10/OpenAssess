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Estimates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<sst xmlns="http://schemas.openxmlformats.org/spreadsheetml/2006/main" count="192" uniqueCount="136">
  <si>
    <t>OpenAssess: PERT Task Breakdown and Effort Estimate</t>
  </si>
  <si>
    <t>OpenAssess: Estimate Summary</t>
  </si>
  <si>
    <t>Estimates are in working days for one full-time developer and cover the P0 scope (authentication, assessments, MCQ and coding questions, timed attempts, evaluation, results). Admin dashboard, notifications, analytics and anti-cheating are excluded. Blue cells are inputs; black cells are formulas.</t>
  </si>
  <si>
    <t>Totals are calculated from the Task Estimates tab. Blue cells are assumptions you can change.</t>
  </si>
  <si>
    <t>ID</t>
  </si>
  <si>
    <t>Phase</t>
  </si>
  <si>
    <t>Task</t>
  </si>
  <si>
    <t>Optimistic (days)</t>
  </si>
  <si>
    <t>Most likely (days)</t>
  </si>
  <si>
    <t>Pessimistic (days)</t>
  </si>
  <si>
    <t>Expected (days)</t>
  </si>
  <si>
    <t>Std dev (days)</t>
  </si>
  <si>
    <t>Variance (days²)</t>
  </si>
  <si>
    <t>Assumptions</t>
  </si>
  <si>
    <t>1.1</t>
  </si>
  <si>
    <t>Phase 1: Foundation</t>
  </si>
  <si>
    <t>Repository setup, branching rules, license and README skeleton</t>
  </si>
  <si>
    <t>Working days per week</t>
  </si>
  <si>
    <t>Z-score for 68% range</t>
  </si>
  <si>
    <t>Z-score for 95% range</t>
  </si>
  <si>
    <t>Tasks</t>
  </si>
  <si>
    <t>Expected (weeks)</t>
  </si>
  <si>
    <t>1.2</t>
  </si>
  <si>
    <t>Docker Compose for FastAPI, PostgreSQL and Redis</t>
  </si>
  <si>
    <t>1.3</t>
  </si>
  <si>
    <t>FastAPI project skeleton and configuration management</t>
  </si>
  <si>
    <t>1.4</t>
  </si>
  <si>
    <t>SQLAlchemy session and Alembic migration setup</t>
  </si>
  <si>
    <t>1.5</t>
  </si>
  <si>
    <t>GitHub Actions pipeline (lint and pytest)</t>
  </si>
  <si>
    <t>1.6</t>
  </si>
  <si>
    <t>React, TypeScript and Tailwind scaffold</t>
  </si>
  <si>
    <t>2.1</t>
  </si>
  <si>
    <t>Phase 2: Authentication</t>
  </si>
  <si>
    <t>User model and migration</t>
  </si>
  <si>
    <t>2.2</t>
  </si>
  <si>
    <t>Registration and login with password hashing and JWT</t>
  </si>
  <si>
    <t>2.3</t>
  </si>
  <si>
    <t>Role-based access control (admin, creator, candidate)</t>
  </si>
  <si>
    <t>2.4</t>
  </si>
  <si>
    <t>Token expiry, refresh and logout</t>
  </si>
  <si>
    <t>2.5</t>
  </si>
  <si>
    <t>Authentication tests</t>
  </si>
  <si>
    <t>2.6</t>
  </si>
  <si>
    <t>Login and registration UI with route guards</t>
  </si>
  <si>
    <t>3.1</t>
  </si>
  <si>
    <t>Phase 3: Assessments</t>
  </si>
  <si>
    <t>Assessment, question and test case models and migrations</t>
  </si>
  <si>
    <t>3.2</t>
  </si>
  <si>
    <t>Assessment CRUD API with publish and archive</t>
  </si>
  <si>
    <t>3.3</t>
  </si>
  <si>
    <t>Question API for MCQ and coding questions with test cases</t>
  </si>
  <si>
    <t>3.4</t>
  </si>
  <si>
    <t>Resource-level authorization and hidden test case protection</t>
  </si>
  <si>
    <t>3.5</t>
  </si>
  <si>
    <t>Creator UI: assessment list and creation</t>
  </si>
  <si>
    <t>3.6</t>
  </si>
  <si>
    <t>Creator UI: question editor with Monaco</t>
  </si>
  <si>
    <t>3.7</t>
  </si>
  <si>
    <t>Assessment and question tests</t>
  </si>
  <si>
    <t>4.1</t>
  </si>
  <si>
    <t>Phase 4: Candidate Workflow</t>
  </si>
  <si>
    <t>Attempt model and start endpoint (schedule and attempt limit checks)</t>
  </si>
  <si>
    <t>4.2</t>
  </si>
  <si>
    <t>Server-side timer enforcement and auto-submit</t>
  </si>
  <si>
    <t>4.3</t>
  </si>
  <si>
    <t>Answer submission API (save and update answers)</t>
  </si>
  <si>
    <t>4.4</t>
  </si>
  <si>
    <t>Candidate UI: assessment list and instructions</t>
  </si>
  <si>
    <t>4.5</t>
  </si>
  <si>
    <t>Candidate UI: test-taking screen with timer and MCQ navigation</t>
  </si>
  <si>
    <t>4.6</t>
  </si>
  <si>
    <t>Candidate UI: coding editor with run and submit</t>
  </si>
  <si>
    <t>4.7</t>
  </si>
  <si>
    <t>Candidate workflow tests</t>
  </si>
  <si>
    <t>5.1</t>
  </si>
  <si>
    <t>Phase 5: Evaluation</t>
  </si>
  <si>
    <t>MCQ scoring engine</t>
  </si>
  <si>
    <t>5.2</t>
  </si>
  <si>
    <t>Deploy and configure Judge0</t>
  </si>
  <si>
    <t>5.3</t>
  </si>
  <si>
    <t>Code execution service client</t>
  </si>
  <si>
    <t>5.4</t>
  </si>
  <si>
    <t>Asynchronous evaluation with Celery and Redis, status endpoint</t>
  </si>
  <si>
    <t>5.5</t>
  </si>
  <si>
    <t>Test-case evaluation, partial scoring and result mapping</t>
  </si>
  <si>
    <t>5.6</t>
  </si>
  <si>
    <t>Execution limits, error handling and retries</t>
  </si>
  <si>
    <t>5.7</t>
  </si>
  <si>
    <t>Evaluation tests (mocked and integration)</t>
  </si>
  <si>
    <t>6.1</t>
  </si>
  <si>
    <t>Phase 6: Results</t>
  </si>
  <si>
    <t>Score aggregation and result model</t>
  </si>
  <si>
    <t>6.2</t>
  </si>
  <si>
    <t>Results API for candidates and creators</t>
  </si>
  <si>
    <t>6.3</t>
  </si>
  <si>
    <t>Candidate result UI</t>
  </si>
  <si>
    <t>6.4</t>
  </si>
  <si>
    <t>Creator reports and CSV export</t>
  </si>
  <si>
    <t>6.5</t>
  </si>
  <si>
    <t>Results tests</t>
  </si>
  <si>
    <t>7.1</t>
  </si>
  <si>
    <t>Phase 7: Quality</t>
  </si>
  <si>
    <t>Security review and authorization audit</t>
  </si>
  <si>
    <t>7.2</t>
  </si>
  <si>
    <t>Rate limiting and input validation hardening</t>
  </si>
  <si>
    <t>7.3</t>
  </si>
  <si>
    <t>Audit logging</t>
  </si>
  <si>
    <t>7.4</t>
  </si>
  <si>
    <t>Test coverage improvements and end-to-end smoke tests</t>
  </si>
  <si>
    <t>7.5</t>
  </si>
  <si>
    <t>OpenAPI documentation cleanup</t>
  </si>
  <si>
    <t>7.6</t>
  </si>
  <si>
    <t>Load check on the submission path</t>
  </si>
  <si>
    <t>8.1</t>
  </si>
  <si>
    <t>Phase 8: Open-Source Release</t>
  </si>
  <si>
    <t>CONTRIBUTING, CODE_OF_CONDUCT, SECURITY and issue and PR templates</t>
  </si>
  <si>
    <t>8.2</t>
  </si>
  <si>
    <t>Setup, architecture and API documentation</t>
  </si>
  <si>
    <t>8.3</t>
  </si>
  <si>
    <t>Production deployment guide and compose file</t>
  </si>
  <si>
    <t>8.4</t>
  </si>
  <si>
    <t>Seed data and demo environment</t>
  </si>
  <si>
    <t>8.5</t>
  </si>
  <si>
    <t>Version tag and changelog for v0.1</t>
  </si>
  <si>
    <t>Total</t>
  </si>
  <si>
    <t>Project estimate</t>
  </si>
  <si>
    <t>Days</t>
  </si>
  <si>
    <t>Weeks</t>
  </si>
  <si>
    <t>Expected duration</t>
  </si>
  <si>
    <t>Standard deviation</t>
  </si>
  <si>
    <t>68% range, low</t>
  </si>
  <si>
    <t>68% range, high</t>
  </si>
  <si>
    <t>95% range, low</t>
  </si>
  <si>
    <t>95% range, high</t>
  </si>
  <si>
    <t>Project standard deviation is the square root of the summed task variances, not the sum of the task standard deviations.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</si>
</sst>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color rgb="FFFFFFFF"/>
      <name val="Arial"/>
    </font>
    <font>
      <b/>
      <color theme="1"/>
      <name val="Arial"/>
    </font>
    <font>
      <color rgb="FF0000FF"/>
      <name val="Arial"/>
    </font>
    <font>
      <i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3"/>
        <bgColor rgb="FF1F3863"/>
      </patternFill>
    </fill>
    <fill>
      <patternFill patternType="solid">
        <fgColor rgb="FFF1F1F1"/>
        <bgColor rgb="FFF1F1F1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quotePrefix="1"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" fillId="0" fontId="5" numFmtId="164" xfId="0" applyAlignment="1" applyBorder="1" applyFont="1" applyNumberFormat="1">
      <alignment readingOrder="0"/>
    </xf>
    <xf borderId="1" fillId="0" fontId="2" numFmtId="2" xfId="0" applyBorder="1" applyFont="1" applyNumberFormat="1"/>
    <xf borderId="1" fillId="0" fontId="2" numFmtId="0" xfId="0" applyBorder="1" applyFont="1"/>
    <xf borderId="1" fillId="0" fontId="2" numFmtId="164" xfId="0" applyBorder="1" applyFont="1" applyNumberFormat="1"/>
    <xf borderId="1" fillId="3" fontId="4" numFmtId="0" xfId="0" applyAlignment="1" applyBorder="1" applyFill="1" applyFont="1">
      <alignment readingOrder="0"/>
    </xf>
    <xf borderId="1" fillId="3" fontId="4" numFmtId="0" xfId="0" applyBorder="1" applyFill="1" applyFont="1"/>
    <xf borderId="1" fillId="3" fontId="4" numFmtId="164" xfId="0" applyBorder="1" applyFill="1" applyFont="1" applyNumberFormat="1"/>
    <xf borderId="1" fillId="3" fontId="4" numFmtId="2" xfId="0" applyBorder="1" applyFill="1" applyFont="1" applyNumberFormat="1"/>
    <xf borderId="1" fillId="2" fontId="3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38"/>
    <col customWidth="1" min="2" max="2" width="26.38"/>
    <col customWidth="1" min="3" max="3" width="55.13"/>
    <col customWidth="1" min="4" max="9" width="15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6.0" customHeight="1">
      <c r="A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1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14</v>
      </c>
      <c r="B5" s="8" t="s">
        <v>15</v>
      </c>
      <c r="C5" s="8" t="s">
        <v>16</v>
      </c>
      <c r="D5" s="10">
        <v>0.5</v>
      </c>
      <c r="E5" s="10">
        <v>1.0</v>
      </c>
      <c r="F5" s="10">
        <v>2.0</v>
      </c>
      <c r="G5" s="11">
        <f t="shared" ref="G5:G53" si="1">(D5+4*E5+F5)/6</f>
        <v>1.083333333</v>
      </c>
      <c r="H5" s="11">
        <f t="shared" ref="H5:H53" si="2">(F5-D5)/6</f>
        <v>0.25</v>
      </c>
      <c r="I5" s="11">
        <f t="shared" ref="I5:I53" si="3">H5^2</f>
        <v>0.0625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 t="s">
        <v>22</v>
      </c>
      <c r="B6" s="8" t="s">
        <v>15</v>
      </c>
      <c r="C6" s="8" t="s">
        <v>23</v>
      </c>
      <c r="D6" s="10">
        <v>1.0</v>
      </c>
      <c r="E6" s="10">
        <v>2.0</v>
      </c>
      <c r="F6" s="10">
        <v>4.0</v>
      </c>
      <c r="G6" s="11">
        <f t="shared" si="1"/>
        <v>2.166666667</v>
      </c>
      <c r="H6" s="11">
        <f t="shared" si="2"/>
        <v>0.5</v>
      </c>
      <c r="I6" s="11">
        <f t="shared" si="3"/>
        <v>0.25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24</v>
      </c>
      <c r="B7" s="8" t="s">
        <v>15</v>
      </c>
      <c r="C7" s="8" t="s">
        <v>25</v>
      </c>
      <c r="D7" s="10">
        <v>1.0</v>
      </c>
      <c r="E7" s="10">
        <v>2.0</v>
      </c>
      <c r="F7" s="10">
        <v>3.0</v>
      </c>
      <c r="G7" s="11">
        <f t="shared" si="1"/>
        <v>2</v>
      </c>
      <c r="H7" s="11">
        <f t="shared" si="2"/>
        <v>0.3333333333</v>
      </c>
      <c r="I7" s="11">
        <f t="shared" si="3"/>
        <v>0.1111111111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 t="s">
        <v>26</v>
      </c>
      <c r="B8" s="8" t="s">
        <v>15</v>
      </c>
      <c r="C8" s="8" t="s">
        <v>27</v>
      </c>
      <c r="D8" s="10">
        <v>1.0</v>
      </c>
      <c r="E8" s="10">
        <v>2.0</v>
      </c>
      <c r="F8" s="10">
        <v>4.0</v>
      </c>
      <c r="G8" s="11">
        <f t="shared" si="1"/>
        <v>2.166666667</v>
      </c>
      <c r="H8" s="11">
        <f t="shared" si="2"/>
        <v>0.5</v>
      </c>
      <c r="I8" s="11">
        <f t="shared" si="3"/>
        <v>0.25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 t="s">
        <v>28</v>
      </c>
      <c r="B9" s="8" t="s">
        <v>15</v>
      </c>
      <c r="C9" s="8" t="s">
        <v>29</v>
      </c>
      <c r="D9" s="10">
        <v>1.0</v>
      </c>
      <c r="E9" s="10">
        <v>2.0</v>
      </c>
      <c r="F9" s="10">
        <v>4.0</v>
      </c>
      <c r="G9" s="11">
        <f t="shared" si="1"/>
        <v>2.166666667</v>
      </c>
      <c r="H9" s="11">
        <f t="shared" si="2"/>
        <v>0.5</v>
      </c>
      <c r="I9" s="11">
        <f t="shared" si="3"/>
        <v>0.25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 t="s">
        <v>30</v>
      </c>
      <c r="B10" s="8" t="s">
        <v>15</v>
      </c>
      <c r="C10" s="8" t="s">
        <v>31</v>
      </c>
      <c r="D10" s="10">
        <v>1.0</v>
      </c>
      <c r="E10" s="10">
        <v>2.0</v>
      </c>
      <c r="F10" s="10">
        <v>3.0</v>
      </c>
      <c r="G10" s="11">
        <f t="shared" si="1"/>
        <v>2</v>
      </c>
      <c r="H10" s="11">
        <f t="shared" si="2"/>
        <v>0.3333333333</v>
      </c>
      <c r="I10" s="11">
        <f t="shared" si="3"/>
        <v>0.1111111111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 t="s">
        <v>32</v>
      </c>
      <c r="B11" s="8" t="s">
        <v>33</v>
      </c>
      <c r="C11" s="8" t="s">
        <v>34</v>
      </c>
      <c r="D11" s="10">
        <v>0.5</v>
      </c>
      <c r="E11" s="10">
        <v>1.0</v>
      </c>
      <c r="F11" s="10">
        <v>2.0</v>
      </c>
      <c r="G11" s="11">
        <f t="shared" si="1"/>
        <v>1.083333333</v>
      </c>
      <c r="H11" s="11">
        <f t="shared" si="2"/>
        <v>0.25</v>
      </c>
      <c r="I11" s="11">
        <f t="shared" si="3"/>
        <v>0.0625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 t="s">
        <v>35</v>
      </c>
      <c r="B12" s="8" t="s">
        <v>33</v>
      </c>
      <c r="C12" s="8" t="s">
        <v>36</v>
      </c>
      <c r="D12" s="10">
        <v>2.0</v>
      </c>
      <c r="E12" s="10">
        <v>3.0</v>
      </c>
      <c r="F12" s="10">
        <v>5.0</v>
      </c>
      <c r="G12" s="11">
        <f t="shared" si="1"/>
        <v>3.166666667</v>
      </c>
      <c r="H12" s="11">
        <f t="shared" si="2"/>
        <v>0.5</v>
      </c>
      <c r="I12" s="11">
        <f t="shared" si="3"/>
        <v>0.25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 t="s">
        <v>37</v>
      </c>
      <c r="B13" s="8" t="s">
        <v>33</v>
      </c>
      <c r="C13" s="8" t="s">
        <v>38</v>
      </c>
      <c r="D13" s="10">
        <v>2.0</v>
      </c>
      <c r="E13" s="10">
        <v>3.0</v>
      </c>
      <c r="F13" s="10">
        <v>5.0</v>
      </c>
      <c r="G13" s="11">
        <f t="shared" si="1"/>
        <v>3.166666667</v>
      </c>
      <c r="H13" s="11">
        <f t="shared" si="2"/>
        <v>0.5</v>
      </c>
      <c r="I13" s="11">
        <f t="shared" si="3"/>
        <v>0.25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 t="s">
        <v>39</v>
      </c>
      <c r="B14" s="8" t="s">
        <v>33</v>
      </c>
      <c r="C14" s="8" t="s">
        <v>40</v>
      </c>
      <c r="D14" s="10">
        <v>1.0</v>
      </c>
      <c r="E14" s="10">
        <v>2.0</v>
      </c>
      <c r="F14" s="10">
        <v>3.0</v>
      </c>
      <c r="G14" s="11">
        <f t="shared" si="1"/>
        <v>2</v>
      </c>
      <c r="H14" s="11">
        <f t="shared" si="2"/>
        <v>0.3333333333</v>
      </c>
      <c r="I14" s="11">
        <f t="shared" si="3"/>
        <v>0.1111111111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41</v>
      </c>
      <c r="B15" s="8" t="s">
        <v>33</v>
      </c>
      <c r="C15" s="8" t="s">
        <v>42</v>
      </c>
      <c r="D15" s="10">
        <v>1.0</v>
      </c>
      <c r="E15" s="10">
        <v>2.0</v>
      </c>
      <c r="F15" s="10">
        <v>3.0</v>
      </c>
      <c r="G15" s="11">
        <f t="shared" si="1"/>
        <v>2</v>
      </c>
      <c r="H15" s="11">
        <f t="shared" si="2"/>
        <v>0.3333333333</v>
      </c>
      <c r="I15" s="11">
        <f t="shared" si="3"/>
        <v>0.1111111111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 t="s">
        <v>43</v>
      </c>
      <c r="B16" s="8" t="s">
        <v>33</v>
      </c>
      <c r="C16" s="8" t="s">
        <v>44</v>
      </c>
      <c r="D16" s="10">
        <v>2.0</v>
      </c>
      <c r="E16" s="10">
        <v>3.0</v>
      </c>
      <c r="F16" s="10">
        <v>5.0</v>
      </c>
      <c r="G16" s="11">
        <f t="shared" si="1"/>
        <v>3.166666667</v>
      </c>
      <c r="H16" s="11">
        <f t="shared" si="2"/>
        <v>0.5</v>
      </c>
      <c r="I16" s="11">
        <f t="shared" si="3"/>
        <v>0.25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45</v>
      </c>
      <c r="B17" s="8" t="s">
        <v>46</v>
      </c>
      <c r="C17" s="8" t="s">
        <v>47</v>
      </c>
      <c r="D17" s="10">
        <v>2.0</v>
      </c>
      <c r="E17" s="10">
        <v>3.0</v>
      </c>
      <c r="F17" s="10">
        <v>5.0</v>
      </c>
      <c r="G17" s="11">
        <f t="shared" si="1"/>
        <v>3.166666667</v>
      </c>
      <c r="H17" s="11">
        <f t="shared" si="2"/>
        <v>0.5</v>
      </c>
      <c r="I17" s="11">
        <f t="shared" si="3"/>
        <v>0.25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 t="s">
        <v>48</v>
      </c>
      <c r="B18" s="8" t="s">
        <v>46</v>
      </c>
      <c r="C18" s="8" t="s">
        <v>49</v>
      </c>
      <c r="D18" s="10">
        <v>2.0</v>
      </c>
      <c r="E18" s="10">
        <v>3.0</v>
      </c>
      <c r="F18" s="10">
        <v>5.0</v>
      </c>
      <c r="G18" s="11">
        <f t="shared" si="1"/>
        <v>3.166666667</v>
      </c>
      <c r="H18" s="11">
        <f t="shared" si="2"/>
        <v>0.5</v>
      </c>
      <c r="I18" s="11">
        <f t="shared" si="3"/>
        <v>0.25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 t="s">
        <v>50</v>
      </c>
      <c r="B19" s="8" t="s">
        <v>46</v>
      </c>
      <c r="C19" s="8" t="s">
        <v>51</v>
      </c>
      <c r="D19" s="10">
        <v>3.0</v>
      </c>
      <c r="E19" s="10">
        <v>4.0</v>
      </c>
      <c r="F19" s="10">
        <v>7.0</v>
      </c>
      <c r="G19" s="11">
        <f t="shared" si="1"/>
        <v>4.333333333</v>
      </c>
      <c r="H19" s="11">
        <f t="shared" si="2"/>
        <v>0.6666666667</v>
      </c>
      <c r="I19" s="11">
        <f t="shared" si="3"/>
        <v>0.4444444444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 t="s">
        <v>52</v>
      </c>
      <c r="B20" s="8" t="s">
        <v>46</v>
      </c>
      <c r="C20" s="8" t="s">
        <v>53</v>
      </c>
      <c r="D20" s="10">
        <v>1.0</v>
      </c>
      <c r="E20" s="10">
        <v>2.0</v>
      </c>
      <c r="F20" s="10">
        <v>4.0</v>
      </c>
      <c r="G20" s="11">
        <f t="shared" si="1"/>
        <v>2.166666667</v>
      </c>
      <c r="H20" s="11">
        <f t="shared" si="2"/>
        <v>0.5</v>
      </c>
      <c r="I20" s="11">
        <f t="shared" si="3"/>
        <v>0.25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 t="s">
        <v>54</v>
      </c>
      <c r="B21" s="8" t="s">
        <v>46</v>
      </c>
      <c r="C21" s="8" t="s">
        <v>55</v>
      </c>
      <c r="D21" s="10">
        <v>3.0</v>
      </c>
      <c r="E21" s="10">
        <v>5.0</v>
      </c>
      <c r="F21" s="10">
        <v>8.0</v>
      </c>
      <c r="G21" s="11">
        <f t="shared" si="1"/>
        <v>5.166666667</v>
      </c>
      <c r="H21" s="11">
        <f t="shared" si="2"/>
        <v>0.8333333333</v>
      </c>
      <c r="I21" s="11">
        <f t="shared" si="3"/>
        <v>0.6944444444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7" t="s">
        <v>56</v>
      </c>
      <c r="B22" s="8" t="s">
        <v>46</v>
      </c>
      <c r="C22" s="8" t="s">
        <v>57</v>
      </c>
      <c r="D22" s="10">
        <v>4.0</v>
      </c>
      <c r="E22" s="10">
        <v>6.0</v>
      </c>
      <c r="F22" s="10">
        <v>10.0</v>
      </c>
      <c r="G22" s="11">
        <f t="shared" si="1"/>
        <v>6.333333333</v>
      </c>
      <c r="H22" s="11">
        <f t="shared" si="2"/>
        <v>1</v>
      </c>
      <c r="I22" s="11">
        <f t="shared" si="3"/>
        <v>1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 t="s">
        <v>58</v>
      </c>
      <c r="B23" s="8" t="s">
        <v>46</v>
      </c>
      <c r="C23" s="8" t="s">
        <v>59</v>
      </c>
      <c r="D23" s="10">
        <v>2.0</v>
      </c>
      <c r="E23" s="10">
        <v>3.0</v>
      </c>
      <c r="F23" s="10">
        <v>4.0</v>
      </c>
      <c r="G23" s="11">
        <f t="shared" si="1"/>
        <v>3</v>
      </c>
      <c r="H23" s="11">
        <f t="shared" si="2"/>
        <v>0.3333333333</v>
      </c>
      <c r="I23" s="11">
        <f t="shared" si="3"/>
        <v>0.1111111111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7" t="s">
        <v>60</v>
      </c>
      <c r="B24" s="8" t="s">
        <v>61</v>
      </c>
      <c r="C24" s="8" t="s">
        <v>62</v>
      </c>
      <c r="D24" s="10">
        <v>2.0</v>
      </c>
      <c r="E24" s="10">
        <v>3.0</v>
      </c>
      <c r="F24" s="10">
        <v>5.0</v>
      </c>
      <c r="G24" s="11">
        <f t="shared" si="1"/>
        <v>3.166666667</v>
      </c>
      <c r="H24" s="11">
        <f t="shared" si="2"/>
        <v>0.5</v>
      </c>
      <c r="I24" s="11">
        <f t="shared" si="3"/>
        <v>0.25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7" t="s">
        <v>63</v>
      </c>
      <c r="B25" s="8" t="s">
        <v>61</v>
      </c>
      <c r="C25" s="8" t="s">
        <v>64</v>
      </c>
      <c r="D25" s="10">
        <v>2.0</v>
      </c>
      <c r="E25" s="10">
        <v>4.0</v>
      </c>
      <c r="F25" s="10">
        <v>7.0</v>
      </c>
      <c r="G25" s="11">
        <f t="shared" si="1"/>
        <v>4.166666667</v>
      </c>
      <c r="H25" s="11">
        <f t="shared" si="2"/>
        <v>0.8333333333</v>
      </c>
      <c r="I25" s="11">
        <f t="shared" si="3"/>
        <v>0.6944444444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7" t="s">
        <v>65</v>
      </c>
      <c r="B26" s="8" t="s">
        <v>61</v>
      </c>
      <c r="C26" s="8" t="s">
        <v>66</v>
      </c>
      <c r="D26" s="10">
        <v>2.0</v>
      </c>
      <c r="E26" s="10">
        <v>3.0</v>
      </c>
      <c r="F26" s="10">
        <v>5.0</v>
      </c>
      <c r="G26" s="11">
        <f t="shared" si="1"/>
        <v>3.166666667</v>
      </c>
      <c r="H26" s="11">
        <f t="shared" si="2"/>
        <v>0.5</v>
      </c>
      <c r="I26" s="11">
        <f t="shared" si="3"/>
        <v>0.25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7" t="s">
        <v>67</v>
      </c>
      <c r="B27" s="8" t="s">
        <v>61</v>
      </c>
      <c r="C27" s="8" t="s">
        <v>68</v>
      </c>
      <c r="D27" s="10">
        <v>2.0</v>
      </c>
      <c r="E27" s="10">
        <v>3.0</v>
      </c>
      <c r="F27" s="10">
        <v>4.0</v>
      </c>
      <c r="G27" s="11">
        <f t="shared" si="1"/>
        <v>3</v>
      </c>
      <c r="H27" s="11">
        <f t="shared" si="2"/>
        <v>0.3333333333</v>
      </c>
      <c r="I27" s="11">
        <f t="shared" si="3"/>
        <v>0.1111111111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7" t="s">
        <v>69</v>
      </c>
      <c r="B28" s="8" t="s">
        <v>61</v>
      </c>
      <c r="C28" s="8" t="s">
        <v>70</v>
      </c>
      <c r="D28" s="10">
        <v>4.0</v>
      </c>
      <c r="E28" s="10">
        <v>6.0</v>
      </c>
      <c r="F28" s="10">
        <v>9.0</v>
      </c>
      <c r="G28" s="11">
        <f t="shared" si="1"/>
        <v>6.166666667</v>
      </c>
      <c r="H28" s="11">
        <f t="shared" si="2"/>
        <v>0.8333333333</v>
      </c>
      <c r="I28" s="11">
        <f t="shared" si="3"/>
        <v>0.6944444444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7" t="s">
        <v>71</v>
      </c>
      <c r="B29" s="8" t="s">
        <v>61</v>
      </c>
      <c r="C29" s="8" t="s">
        <v>72</v>
      </c>
      <c r="D29" s="10">
        <v>3.0</v>
      </c>
      <c r="E29" s="10">
        <v>5.0</v>
      </c>
      <c r="F29" s="10">
        <v>8.0</v>
      </c>
      <c r="G29" s="11">
        <f t="shared" si="1"/>
        <v>5.166666667</v>
      </c>
      <c r="H29" s="11">
        <f t="shared" si="2"/>
        <v>0.8333333333</v>
      </c>
      <c r="I29" s="11">
        <f t="shared" si="3"/>
        <v>0.6944444444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7" t="s">
        <v>73</v>
      </c>
      <c r="B30" s="8" t="s">
        <v>61</v>
      </c>
      <c r="C30" s="8" t="s">
        <v>74</v>
      </c>
      <c r="D30" s="10">
        <v>2.0</v>
      </c>
      <c r="E30" s="10">
        <v>3.0</v>
      </c>
      <c r="F30" s="10">
        <v>5.0</v>
      </c>
      <c r="G30" s="11">
        <f t="shared" si="1"/>
        <v>3.166666667</v>
      </c>
      <c r="H30" s="11">
        <f t="shared" si="2"/>
        <v>0.5</v>
      </c>
      <c r="I30" s="11">
        <f t="shared" si="3"/>
        <v>0.25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" t="s">
        <v>75</v>
      </c>
      <c r="B31" s="8" t="s">
        <v>76</v>
      </c>
      <c r="C31" s="8" t="s">
        <v>77</v>
      </c>
      <c r="D31" s="10">
        <v>1.0</v>
      </c>
      <c r="E31" s="10">
        <v>2.0</v>
      </c>
      <c r="F31" s="10">
        <v>3.0</v>
      </c>
      <c r="G31" s="11">
        <f t="shared" si="1"/>
        <v>2</v>
      </c>
      <c r="H31" s="11">
        <f t="shared" si="2"/>
        <v>0.3333333333</v>
      </c>
      <c r="I31" s="11">
        <f t="shared" si="3"/>
        <v>0.1111111111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" t="s">
        <v>78</v>
      </c>
      <c r="B32" s="8" t="s">
        <v>76</v>
      </c>
      <c r="C32" s="8" t="s">
        <v>79</v>
      </c>
      <c r="D32" s="10">
        <v>1.0</v>
      </c>
      <c r="E32" s="10">
        <v>3.0</v>
      </c>
      <c r="F32" s="10">
        <v>6.0</v>
      </c>
      <c r="G32" s="11">
        <f t="shared" si="1"/>
        <v>3.166666667</v>
      </c>
      <c r="H32" s="11">
        <f t="shared" si="2"/>
        <v>0.8333333333</v>
      </c>
      <c r="I32" s="11">
        <f t="shared" si="3"/>
        <v>0.6944444444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" t="s">
        <v>80</v>
      </c>
      <c r="B33" s="8" t="s">
        <v>76</v>
      </c>
      <c r="C33" s="8" t="s">
        <v>81</v>
      </c>
      <c r="D33" s="10">
        <v>3.0</v>
      </c>
      <c r="E33" s="10">
        <v>4.0</v>
      </c>
      <c r="F33" s="10">
        <v>7.0</v>
      </c>
      <c r="G33" s="11">
        <f t="shared" si="1"/>
        <v>4.333333333</v>
      </c>
      <c r="H33" s="11">
        <f t="shared" si="2"/>
        <v>0.6666666667</v>
      </c>
      <c r="I33" s="11">
        <f t="shared" si="3"/>
        <v>0.4444444444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" t="s">
        <v>82</v>
      </c>
      <c r="B34" s="8" t="s">
        <v>76</v>
      </c>
      <c r="C34" s="8" t="s">
        <v>83</v>
      </c>
      <c r="D34" s="10">
        <v>3.0</v>
      </c>
      <c r="E34" s="10">
        <v>5.0</v>
      </c>
      <c r="F34" s="10">
        <v>8.0</v>
      </c>
      <c r="G34" s="11">
        <f t="shared" si="1"/>
        <v>5.166666667</v>
      </c>
      <c r="H34" s="11">
        <f t="shared" si="2"/>
        <v>0.8333333333</v>
      </c>
      <c r="I34" s="11">
        <f t="shared" si="3"/>
        <v>0.6944444444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" t="s">
        <v>84</v>
      </c>
      <c r="B35" s="8" t="s">
        <v>76</v>
      </c>
      <c r="C35" s="8" t="s">
        <v>85</v>
      </c>
      <c r="D35" s="10">
        <v>2.0</v>
      </c>
      <c r="E35" s="10">
        <v>4.0</v>
      </c>
      <c r="F35" s="10">
        <v>7.0</v>
      </c>
      <c r="G35" s="11">
        <f t="shared" si="1"/>
        <v>4.166666667</v>
      </c>
      <c r="H35" s="11">
        <f t="shared" si="2"/>
        <v>0.8333333333</v>
      </c>
      <c r="I35" s="11">
        <f t="shared" si="3"/>
        <v>0.6944444444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" t="s">
        <v>86</v>
      </c>
      <c r="B36" s="8" t="s">
        <v>76</v>
      </c>
      <c r="C36" s="8" t="s">
        <v>87</v>
      </c>
      <c r="D36" s="10">
        <v>2.0</v>
      </c>
      <c r="E36" s="10">
        <v>3.0</v>
      </c>
      <c r="F36" s="10">
        <v>5.0</v>
      </c>
      <c r="G36" s="11">
        <f t="shared" si="1"/>
        <v>3.166666667</v>
      </c>
      <c r="H36" s="11">
        <f t="shared" si="2"/>
        <v>0.5</v>
      </c>
      <c r="I36" s="11">
        <f t="shared" si="3"/>
        <v>0.25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" t="s">
        <v>88</v>
      </c>
      <c r="B37" s="8" t="s">
        <v>76</v>
      </c>
      <c r="C37" s="8" t="s">
        <v>89</v>
      </c>
      <c r="D37" s="10">
        <v>2.0</v>
      </c>
      <c r="E37" s="10">
        <v>4.0</v>
      </c>
      <c r="F37" s="10">
        <v>6.0</v>
      </c>
      <c r="G37" s="11">
        <f t="shared" si="1"/>
        <v>4</v>
      </c>
      <c r="H37" s="11">
        <f t="shared" si="2"/>
        <v>0.6666666667</v>
      </c>
      <c r="I37" s="11">
        <f t="shared" si="3"/>
        <v>0.4444444444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" t="s">
        <v>90</v>
      </c>
      <c r="B38" s="8" t="s">
        <v>91</v>
      </c>
      <c r="C38" s="8" t="s">
        <v>92</v>
      </c>
      <c r="D38" s="10">
        <v>1.0</v>
      </c>
      <c r="E38" s="10">
        <v>2.0</v>
      </c>
      <c r="F38" s="10">
        <v>4.0</v>
      </c>
      <c r="G38" s="11">
        <f t="shared" si="1"/>
        <v>2.166666667</v>
      </c>
      <c r="H38" s="11">
        <f t="shared" si="2"/>
        <v>0.5</v>
      </c>
      <c r="I38" s="11">
        <f t="shared" si="3"/>
        <v>0.25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" t="s">
        <v>93</v>
      </c>
      <c r="B39" s="8" t="s">
        <v>91</v>
      </c>
      <c r="C39" s="8" t="s">
        <v>94</v>
      </c>
      <c r="D39" s="10">
        <v>2.0</v>
      </c>
      <c r="E39" s="10">
        <v>3.0</v>
      </c>
      <c r="F39" s="10">
        <v>5.0</v>
      </c>
      <c r="G39" s="11">
        <f t="shared" si="1"/>
        <v>3.166666667</v>
      </c>
      <c r="H39" s="11">
        <f t="shared" si="2"/>
        <v>0.5</v>
      </c>
      <c r="I39" s="11">
        <f t="shared" si="3"/>
        <v>0.25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7" t="s">
        <v>95</v>
      </c>
      <c r="B40" s="8" t="s">
        <v>91</v>
      </c>
      <c r="C40" s="8" t="s">
        <v>96</v>
      </c>
      <c r="D40" s="10">
        <v>2.0</v>
      </c>
      <c r="E40" s="10">
        <v>3.0</v>
      </c>
      <c r="F40" s="10">
        <v>5.0</v>
      </c>
      <c r="G40" s="11">
        <f t="shared" si="1"/>
        <v>3.166666667</v>
      </c>
      <c r="H40" s="11">
        <f t="shared" si="2"/>
        <v>0.5</v>
      </c>
      <c r="I40" s="11">
        <f t="shared" si="3"/>
        <v>0.25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7" t="s">
        <v>97</v>
      </c>
      <c r="B41" s="8" t="s">
        <v>91</v>
      </c>
      <c r="C41" s="8" t="s">
        <v>98</v>
      </c>
      <c r="D41" s="10">
        <v>3.0</v>
      </c>
      <c r="E41" s="10">
        <v>5.0</v>
      </c>
      <c r="F41" s="10">
        <v>8.0</v>
      </c>
      <c r="G41" s="11">
        <f t="shared" si="1"/>
        <v>5.166666667</v>
      </c>
      <c r="H41" s="11">
        <f t="shared" si="2"/>
        <v>0.8333333333</v>
      </c>
      <c r="I41" s="11">
        <f t="shared" si="3"/>
        <v>0.6944444444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7" t="s">
        <v>99</v>
      </c>
      <c r="B42" s="8" t="s">
        <v>91</v>
      </c>
      <c r="C42" s="8" t="s">
        <v>100</v>
      </c>
      <c r="D42" s="10">
        <v>1.0</v>
      </c>
      <c r="E42" s="10">
        <v>2.0</v>
      </c>
      <c r="F42" s="10">
        <v>3.0</v>
      </c>
      <c r="G42" s="11">
        <f t="shared" si="1"/>
        <v>2</v>
      </c>
      <c r="H42" s="11">
        <f t="shared" si="2"/>
        <v>0.3333333333</v>
      </c>
      <c r="I42" s="11">
        <f t="shared" si="3"/>
        <v>0.1111111111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" t="s">
        <v>101</v>
      </c>
      <c r="B43" s="8" t="s">
        <v>102</v>
      </c>
      <c r="C43" s="8" t="s">
        <v>103</v>
      </c>
      <c r="D43" s="10">
        <v>2.0</v>
      </c>
      <c r="E43" s="10">
        <v>3.0</v>
      </c>
      <c r="F43" s="10">
        <v>5.0</v>
      </c>
      <c r="G43" s="11">
        <f t="shared" si="1"/>
        <v>3.166666667</v>
      </c>
      <c r="H43" s="11">
        <f t="shared" si="2"/>
        <v>0.5</v>
      </c>
      <c r="I43" s="11">
        <f t="shared" si="3"/>
        <v>0.25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7" t="s">
        <v>104</v>
      </c>
      <c r="B44" s="8" t="s">
        <v>102</v>
      </c>
      <c r="C44" s="8" t="s">
        <v>105</v>
      </c>
      <c r="D44" s="10">
        <v>1.0</v>
      </c>
      <c r="E44" s="10">
        <v>2.0</v>
      </c>
      <c r="F44" s="10">
        <v>4.0</v>
      </c>
      <c r="G44" s="11">
        <f t="shared" si="1"/>
        <v>2.166666667</v>
      </c>
      <c r="H44" s="11">
        <f t="shared" si="2"/>
        <v>0.5</v>
      </c>
      <c r="I44" s="11">
        <f t="shared" si="3"/>
        <v>0.25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7" t="s">
        <v>106</v>
      </c>
      <c r="B45" s="8" t="s">
        <v>102</v>
      </c>
      <c r="C45" s="8" t="s">
        <v>107</v>
      </c>
      <c r="D45" s="10">
        <v>1.0</v>
      </c>
      <c r="E45" s="10">
        <v>2.0</v>
      </c>
      <c r="F45" s="10">
        <v>3.0</v>
      </c>
      <c r="G45" s="11">
        <f t="shared" si="1"/>
        <v>2</v>
      </c>
      <c r="H45" s="11">
        <f t="shared" si="2"/>
        <v>0.3333333333</v>
      </c>
      <c r="I45" s="11">
        <f t="shared" si="3"/>
        <v>0.1111111111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7" t="s">
        <v>108</v>
      </c>
      <c r="B46" s="8" t="s">
        <v>102</v>
      </c>
      <c r="C46" s="8" t="s">
        <v>109</v>
      </c>
      <c r="D46" s="10">
        <v>3.0</v>
      </c>
      <c r="E46" s="10">
        <v>4.0</v>
      </c>
      <c r="F46" s="10">
        <v>7.0</v>
      </c>
      <c r="G46" s="11">
        <f t="shared" si="1"/>
        <v>4.333333333</v>
      </c>
      <c r="H46" s="11">
        <f t="shared" si="2"/>
        <v>0.6666666667</v>
      </c>
      <c r="I46" s="11">
        <f t="shared" si="3"/>
        <v>0.4444444444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7" t="s">
        <v>110</v>
      </c>
      <c r="B47" s="8" t="s">
        <v>102</v>
      </c>
      <c r="C47" s="8" t="s">
        <v>111</v>
      </c>
      <c r="D47" s="10">
        <v>1.0</v>
      </c>
      <c r="E47" s="10">
        <v>2.0</v>
      </c>
      <c r="F47" s="10">
        <v>3.0</v>
      </c>
      <c r="G47" s="11">
        <f t="shared" si="1"/>
        <v>2</v>
      </c>
      <c r="H47" s="11">
        <f t="shared" si="2"/>
        <v>0.3333333333</v>
      </c>
      <c r="I47" s="11">
        <f t="shared" si="3"/>
        <v>0.1111111111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7" t="s">
        <v>112</v>
      </c>
      <c r="B48" s="8" t="s">
        <v>102</v>
      </c>
      <c r="C48" s="8" t="s">
        <v>113</v>
      </c>
      <c r="D48" s="10">
        <v>1.0</v>
      </c>
      <c r="E48" s="10">
        <v>2.0</v>
      </c>
      <c r="F48" s="10">
        <v>4.0</v>
      </c>
      <c r="G48" s="11">
        <f t="shared" si="1"/>
        <v>2.166666667</v>
      </c>
      <c r="H48" s="11">
        <f t="shared" si="2"/>
        <v>0.5</v>
      </c>
      <c r="I48" s="11">
        <f t="shared" si="3"/>
        <v>0.25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7" t="s">
        <v>114</v>
      </c>
      <c r="B49" s="8" t="s">
        <v>115</v>
      </c>
      <c r="C49" s="8" t="s">
        <v>116</v>
      </c>
      <c r="D49" s="10">
        <v>1.0</v>
      </c>
      <c r="E49" s="10">
        <v>1.5</v>
      </c>
      <c r="F49" s="10">
        <v>3.0</v>
      </c>
      <c r="G49" s="11">
        <f t="shared" si="1"/>
        <v>1.666666667</v>
      </c>
      <c r="H49" s="11">
        <f t="shared" si="2"/>
        <v>0.3333333333</v>
      </c>
      <c r="I49" s="11">
        <f t="shared" si="3"/>
        <v>0.1111111111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7" t="s">
        <v>117</v>
      </c>
      <c r="B50" s="8" t="s">
        <v>115</v>
      </c>
      <c r="C50" s="8" t="s">
        <v>118</v>
      </c>
      <c r="D50" s="10">
        <v>2.0</v>
      </c>
      <c r="E50" s="10">
        <v>3.0</v>
      </c>
      <c r="F50" s="10">
        <v>5.0</v>
      </c>
      <c r="G50" s="11">
        <f t="shared" si="1"/>
        <v>3.166666667</v>
      </c>
      <c r="H50" s="11">
        <f t="shared" si="2"/>
        <v>0.5</v>
      </c>
      <c r="I50" s="11">
        <f t="shared" si="3"/>
        <v>0.25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7" t="s">
        <v>119</v>
      </c>
      <c r="B51" s="8" t="s">
        <v>115</v>
      </c>
      <c r="C51" s="8" t="s">
        <v>120</v>
      </c>
      <c r="D51" s="10">
        <v>1.0</v>
      </c>
      <c r="E51" s="10">
        <v>2.0</v>
      </c>
      <c r="F51" s="10">
        <v>4.0</v>
      </c>
      <c r="G51" s="11">
        <f t="shared" si="1"/>
        <v>2.166666667</v>
      </c>
      <c r="H51" s="11">
        <f t="shared" si="2"/>
        <v>0.5</v>
      </c>
      <c r="I51" s="11">
        <f t="shared" si="3"/>
        <v>0.25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7" t="s">
        <v>121</v>
      </c>
      <c r="B52" s="8" t="s">
        <v>115</v>
      </c>
      <c r="C52" s="8" t="s">
        <v>122</v>
      </c>
      <c r="D52" s="10">
        <v>1.0</v>
      </c>
      <c r="E52" s="10">
        <v>1.5</v>
      </c>
      <c r="F52" s="10">
        <v>3.0</v>
      </c>
      <c r="G52" s="11">
        <f t="shared" si="1"/>
        <v>1.666666667</v>
      </c>
      <c r="H52" s="11">
        <f t="shared" si="2"/>
        <v>0.3333333333</v>
      </c>
      <c r="I52" s="11">
        <f t="shared" si="3"/>
        <v>0.1111111111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7" t="s">
        <v>123</v>
      </c>
      <c r="B53" s="8" t="s">
        <v>115</v>
      </c>
      <c r="C53" s="8" t="s">
        <v>124</v>
      </c>
      <c r="D53" s="10">
        <v>0.5</v>
      </c>
      <c r="E53" s="10">
        <v>1.0</v>
      </c>
      <c r="F53" s="10">
        <v>2.0</v>
      </c>
      <c r="G53" s="11">
        <f t="shared" si="1"/>
        <v>1.083333333</v>
      </c>
      <c r="H53" s="11">
        <f t="shared" si="2"/>
        <v>0.25</v>
      </c>
      <c r="I53" s="11">
        <f t="shared" si="3"/>
        <v>0.0625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2:I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9" width="15.13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13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17</v>
      </c>
      <c r="B5" s="9">
        <v>5.0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18</v>
      </c>
      <c r="B6" s="9">
        <v>1.0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19</v>
      </c>
      <c r="B7" s="9">
        <v>1.96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0" customHeight="1">
      <c r="A9" s="5" t="s">
        <v>5</v>
      </c>
      <c r="B9" s="5" t="s">
        <v>20</v>
      </c>
      <c r="C9" s="5" t="s">
        <v>7</v>
      </c>
      <c r="D9" s="5" t="s">
        <v>8</v>
      </c>
      <c r="E9" s="5" t="s">
        <v>9</v>
      </c>
      <c r="F9" s="5" t="s">
        <v>10</v>
      </c>
      <c r="G9" s="5" t="s">
        <v>12</v>
      </c>
      <c r="H9" s="5" t="s">
        <v>11</v>
      </c>
      <c r="I9" s="5" t="s">
        <v>21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 t="s">
        <v>15</v>
      </c>
      <c r="B10" s="12">
        <f>COUNTIF('Task Estimates'!$B$5:$B$53,$A10)</f>
        <v>6</v>
      </c>
      <c r="C10" s="13">
        <f>SUMIFS('Task Estimates'!$D$5:$D$53,'Task Estimates'!$B$5:$B$53,$A10)</f>
        <v>5.5</v>
      </c>
      <c r="D10" s="13">
        <f>SUMIFS('Task Estimates'!$E$5:$E$53,'Task Estimates'!$B$5:$B$53,$A10)</f>
        <v>11</v>
      </c>
      <c r="E10" s="13">
        <f>SUMIFS('Task Estimates'!$F$5:$F$53,'Task Estimates'!$B$5:$B$53,$A10)</f>
        <v>20</v>
      </c>
      <c r="F10" s="13">
        <f>SUMIFS('Task Estimates'!$G$5:$G$53,'Task Estimates'!$B$5:$B$53,$A10)</f>
        <v>11.58333333</v>
      </c>
      <c r="G10" s="11">
        <f>SUMIFS('Task Estimates'!$I$5:$I$53,'Task Estimates'!$B$5:$B$53,$A10)</f>
        <v>1.034722222</v>
      </c>
      <c r="H10" s="11">
        <f t="shared" ref="H10:H18" si="1">SQRT(G10)</f>
        <v>1.017212968</v>
      </c>
      <c r="I10" s="13">
        <f t="shared" ref="I10:I18" si="2">F10/$B$5</f>
        <v>2.316666667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 t="s">
        <v>33</v>
      </c>
      <c r="B11" s="12">
        <f>COUNTIF('Task Estimates'!$B$5:$B$53,$A11)</f>
        <v>6</v>
      </c>
      <c r="C11" s="13">
        <f>SUMIFS('Task Estimates'!$D$5:$D$53,'Task Estimates'!$B$5:$B$53,$A11)</f>
        <v>8.5</v>
      </c>
      <c r="D11" s="13">
        <f>SUMIFS('Task Estimates'!$E$5:$E$53,'Task Estimates'!$B$5:$B$53,$A11)</f>
        <v>14</v>
      </c>
      <c r="E11" s="13">
        <f>SUMIFS('Task Estimates'!$F$5:$F$53,'Task Estimates'!$B$5:$B$53,$A11)</f>
        <v>23</v>
      </c>
      <c r="F11" s="13">
        <f>SUMIFS('Task Estimates'!$G$5:$G$53,'Task Estimates'!$B$5:$B$53,$A11)</f>
        <v>14.58333333</v>
      </c>
      <c r="G11" s="11">
        <f>SUMIFS('Task Estimates'!$I$5:$I$53,'Task Estimates'!$B$5:$B$53,$A11)</f>
        <v>1.034722222</v>
      </c>
      <c r="H11" s="11">
        <f t="shared" si="1"/>
        <v>1.017212968</v>
      </c>
      <c r="I11" s="13">
        <f t="shared" si="2"/>
        <v>2.916666667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 t="s">
        <v>46</v>
      </c>
      <c r="B12" s="12">
        <f>COUNTIF('Task Estimates'!$B$5:$B$53,$A12)</f>
        <v>7</v>
      </c>
      <c r="C12" s="13">
        <f>SUMIFS('Task Estimates'!$D$5:$D$53,'Task Estimates'!$B$5:$B$53,$A12)</f>
        <v>17</v>
      </c>
      <c r="D12" s="13">
        <f>SUMIFS('Task Estimates'!$E$5:$E$53,'Task Estimates'!$B$5:$B$53,$A12)</f>
        <v>26</v>
      </c>
      <c r="E12" s="13">
        <f>SUMIFS('Task Estimates'!$F$5:$F$53,'Task Estimates'!$B$5:$B$53,$A12)</f>
        <v>43</v>
      </c>
      <c r="F12" s="13">
        <f>SUMIFS('Task Estimates'!$G$5:$G$53,'Task Estimates'!$B$5:$B$53,$A12)</f>
        <v>27.33333333</v>
      </c>
      <c r="G12" s="11">
        <f>SUMIFS('Task Estimates'!$I$5:$I$53,'Task Estimates'!$B$5:$B$53,$A12)</f>
        <v>3</v>
      </c>
      <c r="H12" s="11">
        <f t="shared" si="1"/>
        <v>1.732050808</v>
      </c>
      <c r="I12" s="13">
        <f t="shared" si="2"/>
        <v>5.466666667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 t="s">
        <v>61</v>
      </c>
      <c r="B13" s="12">
        <f>COUNTIF('Task Estimates'!$B$5:$B$53,$A13)</f>
        <v>7</v>
      </c>
      <c r="C13" s="13">
        <f>SUMIFS('Task Estimates'!$D$5:$D$53,'Task Estimates'!$B$5:$B$53,$A13)</f>
        <v>17</v>
      </c>
      <c r="D13" s="13">
        <f>SUMIFS('Task Estimates'!$E$5:$E$53,'Task Estimates'!$B$5:$B$53,$A13)</f>
        <v>27</v>
      </c>
      <c r="E13" s="13">
        <f>SUMIFS('Task Estimates'!$F$5:$F$53,'Task Estimates'!$B$5:$B$53,$A13)</f>
        <v>43</v>
      </c>
      <c r="F13" s="13">
        <f>SUMIFS('Task Estimates'!$G$5:$G$53,'Task Estimates'!$B$5:$B$53,$A13)</f>
        <v>28</v>
      </c>
      <c r="G13" s="11">
        <f>SUMIFS('Task Estimates'!$I$5:$I$53,'Task Estimates'!$B$5:$B$53,$A13)</f>
        <v>2.944444444</v>
      </c>
      <c r="H13" s="11">
        <f t="shared" si="1"/>
        <v>1.715938357</v>
      </c>
      <c r="I13" s="13">
        <f t="shared" si="2"/>
        <v>5.6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 t="s">
        <v>76</v>
      </c>
      <c r="B14" s="12">
        <f>COUNTIF('Task Estimates'!$B$5:$B$53,$A14)</f>
        <v>7</v>
      </c>
      <c r="C14" s="13">
        <f>SUMIFS('Task Estimates'!$D$5:$D$53,'Task Estimates'!$B$5:$B$53,$A14)</f>
        <v>14</v>
      </c>
      <c r="D14" s="13">
        <f>SUMIFS('Task Estimates'!$E$5:$E$53,'Task Estimates'!$B$5:$B$53,$A14)</f>
        <v>25</v>
      </c>
      <c r="E14" s="13">
        <f>SUMIFS('Task Estimates'!$F$5:$F$53,'Task Estimates'!$B$5:$B$53,$A14)</f>
        <v>42</v>
      </c>
      <c r="F14" s="13">
        <f>SUMIFS('Task Estimates'!$G$5:$G$53,'Task Estimates'!$B$5:$B$53,$A14)</f>
        <v>26</v>
      </c>
      <c r="G14" s="11">
        <f>SUMIFS('Task Estimates'!$I$5:$I$53,'Task Estimates'!$B$5:$B$53,$A14)</f>
        <v>3.333333333</v>
      </c>
      <c r="H14" s="11">
        <f t="shared" si="1"/>
        <v>1.825741858</v>
      </c>
      <c r="I14" s="13">
        <f t="shared" si="2"/>
        <v>5.2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 t="s">
        <v>91</v>
      </c>
      <c r="B15" s="12">
        <f>COUNTIF('Task Estimates'!$B$5:$B$53,$A15)</f>
        <v>5</v>
      </c>
      <c r="C15" s="13">
        <f>SUMIFS('Task Estimates'!$D$5:$D$53,'Task Estimates'!$B$5:$B$53,$A15)</f>
        <v>9</v>
      </c>
      <c r="D15" s="13">
        <f>SUMIFS('Task Estimates'!$E$5:$E$53,'Task Estimates'!$B$5:$B$53,$A15)</f>
        <v>15</v>
      </c>
      <c r="E15" s="13">
        <f>SUMIFS('Task Estimates'!$F$5:$F$53,'Task Estimates'!$B$5:$B$53,$A15)</f>
        <v>25</v>
      </c>
      <c r="F15" s="13">
        <f>SUMIFS('Task Estimates'!$G$5:$G$53,'Task Estimates'!$B$5:$B$53,$A15)</f>
        <v>15.66666667</v>
      </c>
      <c r="G15" s="11">
        <f>SUMIFS('Task Estimates'!$I$5:$I$53,'Task Estimates'!$B$5:$B$53,$A15)</f>
        <v>1.555555556</v>
      </c>
      <c r="H15" s="11">
        <f t="shared" si="1"/>
        <v>1.247219129</v>
      </c>
      <c r="I15" s="13">
        <f t="shared" si="2"/>
        <v>3.133333333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 t="s">
        <v>102</v>
      </c>
      <c r="B16" s="12">
        <f>COUNTIF('Task Estimates'!$B$5:$B$53,$A16)</f>
        <v>6</v>
      </c>
      <c r="C16" s="13">
        <f>SUMIFS('Task Estimates'!$D$5:$D$53,'Task Estimates'!$B$5:$B$53,$A16)</f>
        <v>9</v>
      </c>
      <c r="D16" s="13">
        <f>SUMIFS('Task Estimates'!$E$5:$E$53,'Task Estimates'!$B$5:$B$53,$A16)</f>
        <v>15</v>
      </c>
      <c r="E16" s="13">
        <f>SUMIFS('Task Estimates'!$F$5:$F$53,'Task Estimates'!$B$5:$B$53,$A16)</f>
        <v>26</v>
      </c>
      <c r="F16" s="13">
        <f>SUMIFS('Task Estimates'!$G$5:$G$53,'Task Estimates'!$B$5:$B$53,$A16)</f>
        <v>15.83333333</v>
      </c>
      <c r="G16" s="11">
        <f>SUMIFS('Task Estimates'!$I$5:$I$53,'Task Estimates'!$B$5:$B$53,$A16)</f>
        <v>1.416666667</v>
      </c>
      <c r="H16" s="11">
        <f t="shared" si="1"/>
        <v>1.190238071</v>
      </c>
      <c r="I16" s="13">
        <f t="shared" si="2"/>
        <v>3.166666667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 t="s">
        <v>115</v>
      </c>
      <c r="B17" s="12">
        <f>COUNTIF('Task Estimates'!$B$5:$B$53,$A17)</f>
        <v>5</v>
      </c>
      <c r="C17" s="13">
        <f>SUMIFS('Task Estimates'!$D$5:$D$53,'Task Estimates'!$B$5:$B$53,$A17)</f>
        <v>5.5</v>
      </c>
      <c r="D17" s="13">
        <f>SUMIFS('Task Estimates'!$E$5:$E$53,'Task Estimates'!$B$5:$B$53,$A17)</f>
        <v>9</v>
      </c>
      <c r="E17" s="13">
        <f>SUMIFS('Task Estimates'!$F$5:$F$53,'Task Estimates'!$B$5:$B$53,$A17)</f>
        <v>17</v>
      </c>
      <c r="F17" s="13">
        <f>SUMIFS('Task Estimates'!$G$5:$G$53,'Task Estimates'!$B$5:$B$53,$A17)</f>
        <v>9.75</v>
      </c>
      <c r="G17" s="11">
        <f>SUMIFS('Task Estimates'!$I$5:$I$53,'Task Estimates'!$B$5:$B$53,$A17)</f>
        <v>0.7847222222</v>
      </c>
      <c r="H17" s="11">
        <f t="shared" si="1"/>
        <v>0.8858454844</v>
      </c>
      <c r="I17" s="13">
        <f t="shared" si="2"/>
        <v>1.95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4" t="s">
        <v>125</v>
      </c>
      <c r="B18" s="15">
        <f t="shared" ref="B18:G18" si="3">SUM(B10:B17)</f>
        <v>49</v>
      </c>
      <c r="C18" s="16">
        <f t="shared" si="3"/>
        <v>85.5</v>
      </c>
      <c r="D18" s="16">
        <f t="shared" si="3"/>
        <v>142</v>
      </c>
      <c r="E18" s="16">
        <f t="shared" si="3"/>
        <v>239</v>
      </c>
      <c r="F18" s="16">
        <f t="shared" si="3"/>
        <v>148.75</v>
      </c>
      <c r="G18" s="17">
        <f t="shared" si="3"/>
        <v>15.10416667</v>
      </c>
      <c r="H18" s="17">
        <f t="shared" si="1"/>
        <v>3.886407939</v>
      </c>
      <c r="I18" s="16">
        <f t="shared" si="2"/>
        <v>29.75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8" t="s">
        <v>126</v>
      </c>
      <c r="B20" s="18" t="s">
        <v>127</v>
      </c>
      <c r="C20" s="18" t="s">
        <v>128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9" t="s">
        <v>129</v>
      </c>
      <c r="B21" s="13">
        <f>F18</f>
        <v>148.75</v>
      </c>
      <c r="C21" s="13">
        <f t="shared" ref="C21:C26" si="4">B21/$B$5</f>
        <v>29.75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9" t="s">
        <v>130</v>
      </c>
      <c r="B22" s="13">
        <f>H18</f>
        <v>3.886407939</v>
      </c>
      <c r="C22" s="13">
        <f t="shared" si="4"/>
        <v>0.7772815878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 t="s">
        <v>131</v>
      </c>
      <c r="B23" s="13">
        <f>B21-$B$6*B22</f>
        <v>144.8635921</v>
      </c>
      <c r="C23" s="13">
        <f t="shared" si="4"/>
        <v>28.97271841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 t="s">
        <v>132</v>
      </c>
      <c r="B24" s="13">
        <f>B21+$B$6*B22</f>
        <v>152.6364079</v>
      </c>
      <c r="C24" s="13">
        <f t="shared" si="4"/>
        <v>30.52728159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 t="s">
        <v>133</v>
      </c>
      <c r="B25" s="13">
        <f>B21-$B$7*B22</f>
        <v>141.1326404</v>
      </c>
      <c r="C25" s="13">
        <f t="shared" si="4"/>
        <v>28.22652809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 t="s">
        <v>134</v>
      </c>
      <c r="B26" s="13">
        <f>B21+$B$7*B22</f>
        <v>156.3673596</v>
      </c>
      <c r="C26" s="13">
        <f t="shared" si="4"/>
        <v>31.27347191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0" t="s">
        <v>135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